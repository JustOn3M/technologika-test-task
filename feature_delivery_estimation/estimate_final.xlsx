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Критический путь" sheetId="3" state="visible" r:id="rId3"/>
    <sheet xmlns:r="http://schemas.openxmlformats.org/officeDocument/2006/relationships" name="Задачи" sheetId="4" state="visible" r:id="rId4"/>
    <sheet xmlns:r="http://schemas.openxmlformats.org/officeDocument/2006/relationships" name="Диаграмма Ганта" sheetId="5" state="visible" r:id="rId5"/>
  </sheets>
  <definedNames>
    <definedName name="Small">Параметры!$B$4</definedName>
    <definedName name="Medium">Параметры!$B$5</definedName>
    <definedName name="Large">Параметры!$B$6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b val="1"/>
      <color rgb="00C0392B"/>
      <sz val="14"/>
    </font>
    <font>
      <i val="1"/>
      <color rgb="007F8C8D"/>
    </font>
    <font>
      <b val="1"/>
      <color rgb="00FFFFFF"/>
      <sz val="18"/>
    </font>
    <font>
      <b val="1"/>
      <color rgb="00FFFFFF"/>
      <sz val="14"/>
    </font>
    <font>
      <b val="1"/>
      <sz val="11"/>
    </font>
    <font>
      <b val="1"/>
      <color rgb="00C0392B"/>
      <sz val="12"/>
    </font>
    <font>
      <b val="1"/>
      <sz val="12"/>
    </font>
    <font>
      <i val="1"/>
    </font>
    <font>
      <sz val="11"/>
    </font>
    <font>
      <b val="1"/>
      <color rgb="00C0392B"/>
      <sz val="11"/>
    </font>
    <font>
      <b val="1"/>
      <color rgb="00C0392B"/>
    </font>
    <font>
      <color rgb="0095A5A6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498DB"/>
        <bgColor rgb="003498DB"/>
      </patternFill>
    </fill>
    <fill>
      <patternFill patternType="solid">
        <fgColor rgb="00ECF0F1"/>
        <bgColor rgb="00ECF0F1"/>
      </patternFill>
    </fill>
    <fill>
      <patternFill patternType="solid">
        <fgColor rgb="00E74C3C"/>
        <bgColor rgb="00E74C3C"/>
      </patternFill>
    </fill>
    <fill>
      <patternFill patternType="solid">
        <fgColor rgb="0027AE60"/>
        <bgColor rgb="0027AE60"/>
      </patternFill>
    </fill>
    <fill>
      <patternFill patternType="solid">
        <fgColor rgb="00C0392B"/>
        <bgColor rgb="00C0392B"/>
      </patternFill>
    </fill>
    <fill>
      <patternFill patternType="solid">
        <fgColor rgb="00FADBD8"/>
        <bgColor rgb="00FADBD8"/>
      </patternFill>
    </fill>
    <fill>
      <patternFill patternType="solid">
        <fgColor rgb="0016A085"/>
        <bgColor rgb="0016A0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4" borderId="0" pivotButton="0" quotePrefix="0" xfId="0"/>
    <xf numFmtId="0" fontId="8" fillId="5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7" fillId="6" borderId="0" pivotButton="0" quotePrefix="0" xfId="0"/>
    <xf numFmtId="0" fontId="11" fillId="0" borderId="0" pivotButton="0" quotePrefix="0" xfId="0"/>
    <xf numFmtId="0" fontId="7" fillId="7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2" fillId="8" borderId="0" applyAlignment="1" pivotButton="0" quotePrefix="0" xfId="0">
      <alignment horizontal="center"/>
    </xf>
    <xf numFmtId="0" fontId="0" fillId="9" borderId="0" pivotButton="0" quotePrefix="0" xfId="0"/>
    <xf numFmtId="0" fontId="3" fillId="9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14" fillId="9" borderId="0" pivotButton="0" quotePrefix="0" xfId="0"/>
    <xf numFmtId="0" fontId="0" fillId="0" borderId="0" applyAlignment="1" pivotButton="0" quotePrefix="0" xfId="0">
      <alignment horizontal="center"/>
    </xf>
    <xf numFmtId="0" fontId="15" fillId="0" borderId="0" pivotButton="0" quotePrefix="0" xfId="0"/>
    <xf numFmtId="0" fontId="16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Критический путь (Timeline)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'Диаграмма Ганта'!B2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'Диаграмма Ганта'!$A$3:$A$7</f>
            </numRef>
          </cat>
          <val>
            <numRef>
              <f>'Диаграмма Ганта'!$B$3:$B$7</f>
            </numRef>
          </val>
        </ser>
        <ser>
          <idx val="1"/>
          <order val="1"/>
          <tx>
            <strRef>
              <f>'Диаграмма Ганта'!C2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'Диаграмма Ганта'!$A$3:$A$7</f>
            </numRef>
          </cat>
          <val>
            <numRef>
              <f>'Диаграмма Ганта'!$C$3:$C$7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Часы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Задачи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5" customWidth="1" min="3" max="3"/>
  </cols>
  <sheetData>
    <row r="1" ht="30" customHeight="1">
      <c r="A1" s="1" t="inlineStr">
        <is>
          <t>ПАРАМЕТРЫ ОЦЕНКИ</t>
        </is>
      </c>
    </row>
    <row r="3">
      <c r="A3" s="2" t="inlineStr">
        <is>
          <t>Категория</t>
        </is>
      </c>
      <c r="B3" s="2" t="inlineStr">
        <is>
          <t>Часы</t>
        </is>
      </c>
      <c r="C3" s="2" t="inlineStr">
        <is>
          <t>Описание</t>
        </is>
      </c>
    </row>
    <row r="4">
      <c r="A4" s="3" t="inlineStr">
        <is>
          <t>Small</t>
        </is>
      </c>
      <c r="B4" s="4" t="n">
        <v>6</v>
      </c>
      <c r="C4" t="inlineStr">
        <is>
          <t>hours</t>
        </is>
      </c>
    </row>
    <row r="5">
      <c r="A5" s="3" t="inlineStr">
        <is>
          <t>Medium</t>
        </is>
      </c>
      <c r="B5" s="4" t="n">
        <v>12</v>
      </c>
      <c r="C5" t="inlineStr">
        <is>
          <t>from hours to a couple of days</t>
        </is>
      </c>
    </row>
    <row r="6">
      <c r="A6" s="3" t="inlineStr">
        <is>
          <t>Large</t>
        </is>
      </c>
      <c r="B6" s="4" t="n">
        <v>24</v>
      </c>
      <c r="C6" t="inlineStr">
        <is>
          <t>assumes days</t>
        </is>
      </c>
    </row>
    <row r="8">
      <c r="A8" s="5" t="inlineStr">
        <is>
          <t>💡 Измените значения в колонке B для пересчета всех оценок</t>
        </is>
      </c>
    </row>
  </sheetData>
  <mergeCells count="2">
    <mergeCell ref="A1:D1"/>
    <mergeCell ref="A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 ht="30" customHeight="1">
      <c r="A1" s="6" t="inlineStr">
        <is>
          <t>ОЦЕНКА ТРУДОЗАТРАТ - OUTPUT FORMATTING FEATURES</t>
        </is>
      </c>
    </row>
    <row r="3">
      <c r="A3" s="7" t="inlineStr">
        <is>
          <t>КЛЮЧЕВЫЕ МЕТРИКИ</t>
        </is>
      </c>
    </row>
    <row r="4">
      <c r="A4" s="8" t="inlineStr">
        <is>
          <t>Общая трудоемкость:</t>
        </is>
      </c>
      <c r="B4" s="9">
        <f>Задачи!E13</f>
        <v/>
      </c>
      <c r="C4" s="8" t="inlineStr">
        <is>
          <t>Критический путь:</t>
        </is>
      </c>
      <c r="D4" s="9">
        <f>MAX('Критический путь'!E4:E8)</f>
        <v/>
      </c>
    </row>
    <row r="5">
      <c r="A5" s="8" t="inlineStr">
        <is>
          <t>С параллелизмом:</t>
        </is>
      </c>
      <c r="B5" s="10" t="inlineStr">
        <is>
          <t>~84 ч</t>
        </is>
      </c>
      <c r="C5" s="8" t="inlineStr">
        <is>
          <t>Срок завершения:</t>
        </is>
      </c>
      <c r="D5" s="10" t="inlineStr">
        <is>
          <t>~11 дней</t>
        </is>
      </c>
    </row>
    <row r="6">
      <c r="A6" s="8" t="inlineStr">
        <is>
          <t>Команда:</t>
        </is>
      </c>
      <c r="B6" s="10" t="inlineStr">
        <is>
          <t>2 FE + 2 BE</t>
        </is>
      </c>
      <c r="C6" s="8" t="inlineStr">
        <is>
          <t>Приоритет #1:</t>
        </is>
      </c>
      <c r="D6" s="10" t="inlineStr">
        <is>
          <t>Начать T4</t>
        </is>
      </c>
    </row>
    <row r="8">
      <c r="A8" s="11" t="inlineStr">
        <is>
          <t>🔴 КРИТИЧЕСКИЙ ПУТЬ</t>
        </is>
      </c>
    </row>
    <row r="9">
      <c r="A9" s="12" t="inlineStr">
        <is>
          <t>См. лист 'Критический путь' для детальной информации</t>
        </is>
      </c>
    </row>
    <row r="11">
      <c r="A11" s="13" t="inlineStr">
        <is>
          <t>✅ РЕКОМЕНДАЦИИ</t>
        </is>
      </c>
    </row>
    <row r="12">
      <c r="A12" s="14" t="inlineStr">
        <is>
          <t>1. Немедленно стартовать T4 (CAD export) - начало критического пути</t>
        </is>
      </c>
    </row>
    <row r="13">
      <c r="A13" s="15" t="inlineStr">
        <is>
          <t>2. Параллельно запустить T1 (Save As dialog) - блокирует T2</t>
        </is>
      </c>
    </row>
    <row r="14">
      <c r="A14" s="14" t="inlineStr">
        <is>
          <t>3. Проверить коммерческую лицензию ODA File Converter для T4</t>
        </is>
      </c>
    </row>
    <row r="15">
      <c r="A15" s="15" t="inlineStr">
        <is>
          <t>4. Распределить команду: BE Dev 1→критический путь, BE Dev 2→T1/T2</t>
        </is>
      </c>
    </row>
    <row r="16">
      <c r="A16" s="15" t="inlineStr">
        <is>
          <t>5. T10 отложить на фазу 2 (низкий приоритет)</t>
        </is>
      </c>
    </row>
    <row r="17">
      <c r="A17" s="15" t="inlineStr">
        <is>
          <t>6. T11 не планировать (заблокирована внешними данными)</t>
        </is>
      </c>
    </row>
  </sheetData>
  <mergeCells count="11">
    <mergeCell ref="A9:H9"/>
    <mergeCell ref="A12:H12"/>
    <mergeCell ref="A3:H3"/>
    <mergeCell ref="A15:H15"/>
    <mergeCell ref="A16:H16"/>
    <mergeCell ref="A13:H13"/>
    <mergeCell ref="A11:H11"/>
    <mergeCell ref="A14:H14"/>
    <mergeCell ref="A1:H1"/>
    <mergeCell ref="A8:H8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12" customWidth="1" min="4" max="4"/>
    <col width="15" customWidth="1" min="5" max="5"/>
  </cols>
  <sheetData>
    <row r="1">
      <c r="A1" s="11" t="inlineStr">
        <is>
          <t>КРИТИЧЕСКИЙ ПУТЬ (определяет минимальный срок проекта)</t>
        </is>
      </c>
    </row>
    <row r="2">
      <c r="A2" s="16" t="inlineStr">
        <is>
          <t>#</t>
        </is>
      </c>
      <c r="B2" s="16" t="inlineStr">
        <is>
          <t>ID</t>
        </is>
      </c>
      <c r="C2" s="16" t="inlineStr">
        <is>
          <t>Задача</t>
        </is>
      </c>
      <c r="D2" s="16" t="inlineStr">
        <is>
          <t>Часы</t>
        </is>
      </c>
      <c r="E2" s="16" t="inlineStr">
        <is>
          <t>Накопленное</t>
        </is>
      </c>
    </row>
    <row r="3">
      <c r="A3" s="17" t="n">
        <v>1</v>
      </c>
      <c r="B3" s="17" t="inlineStr">
        <is>
          <t>T4</t>
        </is>
      </c>
      <c r="C3" s="17" t="inlineStr">
        <is>
          <t>CAD export formats</t>
        </is>
      </c>
      <c r="D3" s="18">
        <f>Small</f>
        <v/>
      </c>
      <c r="E3" s="18">
        <f>D3</f>
        <v/>
      </c>
    </row>
    <row r="4">
      <c r="A4" s="17" t="n">
        <v>2</v>
      </c>
      <c r="B4" s="17" t="inlineStr">
        <is>
          <t>T5</t>
        </is>
      </c>
      <c r="C4" s="17" t="inlineStr">
        <is>
          <t>Revit-optimized DWG</t>
        </is>
      </c>
      <c r="D4" s="18">
        <f>Medium</f>
        <v/>
      </c>
      <c r="E4" s="18">
        <f>E3+D4</f>
        <v/>
      </c>
    </row>
    <row r="5">
      <c r="A5" s="17" t="n">
        <v>3</v>
      </c>
      <c r="B5" s="17" t="inlineStr">
        <is>
          <t>T6</t>
        </is>
      </c>
      <c r="C5" s="17" t="inlineStr">
        <is>
          <t>GIS export formats</t>
        </is>
      </c>
      <c r="D5" s="18">
        <f>Large</f>
        <v/>
      </c>
      <c r="E5" s="18">
        <f>E4+D5</f>
        <v/>
      </c>
    </row>
    <row r="6">
      <c r="A6" s="17" t="n">
        <v>4</v>
      </c>
      <c r="B6" s="17" t="inlineStr">
        <is>
          <t>T7</t>
        </is>
      </c>
      <c r="C6" s="17" t="inlineStr">
        <is>
          <t>ALTA/NSPS compliance</t>
        </is>
      </c>
      <c r="D6" s="18">
        <f>Medium+Small</f>
        <v/>
      </c>
      <c r="E6" s="18">
        <f>E5+D6</f>
        <v/>
      </c>
    </row>
    <row r="7">
      <c r="A7" s="17" t="n">
        <v>5</v>
      </c>
      <c r="B7" s="17" t="inlineStr">
        <is>
          <t>T8</t>
        </is>
      </c>
      <c r="C7" s="17" t="inlineStr">
        <is>
          <t>Color/B&amp;W toggle</t>
        </is>
      </c>
      <c r="D7" s="18">
        <f>Small</f>
        <v/>
      </c>
      <c r="E7" s="18">
        <f>E6+D7</f>
        <v/>
      </c>
    </row>
    <row r="8">
      <c r="C8" s="10" t="inlineStr">
        <is>
          <t>ИТОГО:</t>
        </is>
      </c>
      <c r="D8" s="19">
        <f>SUM(D3:D7)</f>
        <v/>
      </c>
      <c r="E8" s="19">
        <f>E7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8" customWidth="1" min="3" max="3"/>
    <col width="8" customWidth="1" min="4" max="4"/>
    <col width="10" customWidth="1" min="5" max="5"/>
    <col width="10" customWidth="1" min="6" max="6"/>
    <col width="18" customWidth="1" min="7" max="7"/>
    <col width="15" customWidth="1" min="8" max="8"/>
  </cols>
  <sheetData>
    <row r="1">
      <c r="A1" s="13" t="inlineStr">
        <is>
          <t>ВСЕ ЗАДАЧИ (11 шт)</t>
        </is>
      </c>
    </row>
    <row r="2">
      <c r="A2" s="20" t="inlineStr">
        <is>
          <t>ID</t>
        </is>
      </c>
      <c r="B2" s="20" t="inlineStr">
        <is>
          <t>Название</t>
        </is>
      </c>
      <c r="C2" s="20" t="inlineStr">
        <is>
          <t>FE</t>
        </is>
      </c>
      <c r="D2" s="20" t="inlineStr">
        <is>
          <t>BE</t>
        </is>
      </c>
      <c r="E2" s="20" t="inlineStr">
        <is>
          <t>Всего</t>
        </is>
      </c>
      <c r="F2" s="20" t="inlineStr">
        <is>
          <t>Крит.</t>
        </is>
      </c>
      <c r="G2" s="20" t="inlineStr">
        <is>
          <t>Зависимости</t>
        </is>
      </c>
      <c r="H2" s="20" t="inlineStr">
        <is>
          <t>Приоритет</t>
        </is>
      </c>
    </row>
    <row r="3">
      <c r="A3" s="17" t="inlineStr">
        <is>
          <t>T4</t>
        </is>
      </c>
      <c r="B3" s="17" t="inlineStr">
        <is>
          <t>CAD export formats</t>
        </is>
      </c>
      <c r="C3" s="21" t="n">
        <v>0</v>
      </c>
      <c r="D3" s="21">
        <f>Small</f>
        <v/>
      </c>
      <c r="E3" s="21">
        <f>D3+C3</f>
        <v/>
      </c>
      <c r="F3" s="21" t="inlineStr">
        <is>
          <t>✓</t>
        </is>
      </c>
      <c r="G3" s="17" t="inlineStr">
        <is>
          <t>—</t>
        </is>
      </c>
      <c r="H3" s="22" t="inlineStr">
        <is>
          <t>КРИТИЧЕСКИЙ</t>
        </is>
      </c>
    </row>
    <row r="4">
      <c r="A4" s="17" t="inlineStr">
        <is>
          <t>T5</t>
        </is>
      </c>
      <c r="B4" s="17" t="inlineStr">
        <is>
          <t>Revit-optimized DWG</t>
        </is>
      </c>
      <c r="C4" s="21" t="n">
        <v>0</v>
      </c>
      <c r="D4" s="21">
        <f>Medium</f>
        <v/>
      </c>
      <c r="E4" s="21">
        <f>D4+C4</f>
        <v/>
      </c>
      <c r="F4" s="21" t="inlineStr">
        <is>
          <t>✓</t>
        </is>
      </c>
      <c r="G4" s="17" t="inlineStr">
        <is>
          <t>T4</t>
        </is>
      </c>
      <c r="H4" s="22" t="inlineStr">
        <is>
          <t>КРИТИЧЕСКИЙ</t>
        </is>
      </c>
    </row>
    <row r="5">
      <c r="A5" s="17" t="inlineStr">
        <is>
          <t>T6</t>
        </is>
      </c>
      <c r="B5" s="17" t="inlineStr">
        <is>
          <t>GIS export formats</t>
        </is>
      </c>
      <c r="C5" s="21" t="n">
        <v>0</v>
      </c>
      <c r="D5" s="21">
        <f>Large</f>
        <v/>
      </c>
      <c r="E5" s="21">
        <f>D5+C5</f>
        <v/>
      </c>
      <c r="F5" s="21" t="inlineStr">
        <is>
          <t>✓</t>
        </is>
      </c>
      <c r="G5" s="17" t="inlineStr">
        <is>
          <t>T5</t>
        </is>
      </c>
      <c r="H5" s="22" t="inlineStr">
        <is>
          <t>КРИТИЧЕСКИЙ</t>
        </is>
      </c>
    </row>
    <row r="6">
      <c r="A6" s="17" t="inlineStr">
        <is>
          <t>T7</t>
        </is>
      </c>
      <c r="B6" s="17" t="inlineStr">
        <is>
          <t>ALTA/NSPS compliance</t>
        </is>
      </c>
      <c r="C6" s="21" t="n">
        <v>0</v>
      </c>
      <c r="D6" s="21">
        <f>Medium+Small</f>
        <v/>
      </c>
      <c r="E6" s="21">
        <f>D6+C6</f>
        <v/>
      </c>
      <c r="F6" s="21" t="inlineStr">
        <is>
          <t>✓</t>
        </is>
      </c>
      <c r="G6" s="17" t="inlineStr">
        <is>
          <t>T4,T5,T6</t>
        </is>
      </c>
      <c r="H6" s="22" t="inlineStr">
        <is>
          <t>КРИТИЧЕСКИЙ</t>
        </is>
      </c>
    </row>
    <row r="7">
      <c r="A7" s="17" t="inlineStr">
        <is>
          <t>T8</t>
        </is>
      </c>
      <c r="B7" s="17" t="inlineStr">
        <is>
          <t>Color/B&amp;W toggle</t>
        </is>
      </c>
      <c r="C7" s="21">
        <f>Small</f>
        <v/>
      </c>
      <c r="D7" s="21">
        <f>Small</f>
        <v/>
      </c>
      <c r="E7" s="21">
        <f>D7+C7</f>
        <v/>
      </c>
      <c r="F7" s="21" t="inlineStr">
        <is>
          <t>✓</t>
        </is>
      </c>
      <c r="G7" s="17" t="inlineStr">
        <is>
          <t>T4,T5,T6</t>
        </is>
      </c>
      <c r="H7" s="22" t="inlineStr">
        <is>
          <t>КРИТИЧЕСКИЙ</t>
        </is>
      </c>
    </row>
    <row r="8">
      <c r="A8" t="inlineStr">
        <is>
          <t>T1</t>
        </is>
      </c>
      <c r="B8" t="inlineStr">
        <is>
          <t>Universal Save As Dialog</t>
        </is>
      </c>
      <c r="C8" s="23">
        <f>Large</f>
        <v/>
      </c>
      <c r="D8" s="23">
        <f>Medium</f>
        <v/>
      </c>
      <c r="E8" s="23">
        <f>D8+C8</f>
        <v/>
      </c>
      <c r="F8" s="23" t="inlineStr">
        <is>
          <t>—</t>
        </is>
      </c>
      <c r="G8" t="inlineStr">
        <is>
          <t>—</t>
        </is>
      </c>
      <c r="H8" t="inlineStr">
        <is>
          <t>Высокий</t>
        </is>
      </c>
    </row>
    <row r="9">
      <c r="A9" t="inlineStr">
        <is>
          <t>T2</t>
        </is>
      </c>
      <c r="B9" t="inlineStr">
        <is>
          <t>Template-based export</t>
        </is>
      </c>
      <c r="C9" s="23">
        <f>Small</f>
        <v/>
      </c>
      <c r="D9" s="23">
        <f>Large</f>
        <v/>
      </c>
      <c r="E9" s="23">
        <f>D9+C9</f>
        <v/>
      </c>
      <c r="F9" s="23" t="inlineStr">
        <is>
          <t>—</t>
        </is>
      </c>
      <c r="G9" t="inlineStr">
        <is>
          <t>T1</t>
        </is>
      </c>
      <c r="H9" t="inlineStr">
        <is>
          <t>Средний</t>
        </is>
      </c>
    </row>
    <row r="10">
      <c r="A10" t="inlineStr">
        <is>
          <t>T3</t>
        </is>
      </c>
      <c r="B10" t="inlineStr">
        <is>
          <t>Site Plan scale options</t>
        </is>
      </c>
      <c r="C10" s="23">
        <f>Medium</f>
        <v/>
      </c>
      <c r="D10" s="23">
        <f>Medium</f>
        <v/>
      </c>
      <c r="E10" s="23">
        <f>D10+C10</f>
        <v/>
      </c>
      <c r="F10" s="23" t="inlineStr">
        <is>
          <t>—</t>
        </is>
      </c>
      <c r="G10" t="inlineStr">
        <is>
          <t>—</t>
        </is>
      </c>
      <c r="H10" t="inlineStr">
        <is>
          <t>Средний</t>
        </is>
      </c>
    </row>
    <row r="11">
      <c r="A11" t="inlineStr">
        <is>
          <t>T9</t>
        </is>
      </c>
      <c r="B11" t="inlineStr">
        <is>
          <t>Dynamic legend</t>
        </is>
      </c>
      <c r="C11" s="23" t="n">
        <v>0</v>
      </c>
      <c r="D11" s="23">
        <f>Small</f>
        <v/>
      </c>
      <c r="E11" s="23">
        <f>D11+C11</f>
        <v/>
      </c>
      <c r="F11" s="23" t="inlineStr">
        <is>
          <t>—</t>
        </is>
      </c>
      <c r="G11" t="inlineStr">
        <is>
          <t>—</t>
        </is>
      </c>
      <c r="H11" t="inlineStr">
        <is>
          <t>Низкий</t>
        </is>
      </c>
    </row>
    <row r="12">
      <c r="A12" t="inlineStr">
        <is>
          <t>T10</t>
        </is>
      </c>
      <c r="B12" t="inlineStr">
        <is>
          <t>Interactive PDF/SketchUp</t>
        </is>
      </c>
      <c r="C12" s="23" t="n">
        <v>0</v>
      </c>
      <c r="D12" s="23">
        <f>Large</f>
        <v/>
      </c>
      <c r="E12" s="23">
        <f>D12+C12</f>
        <v/>
      </c>
      <c r="F12" s="23" t="inlineStr">
        <is>
          <t>—</t>
        </is>
      </c>
      <c r="G12" t="inlineStr">
        <is>
          <t>—</t>
        </is>
      </c>
      <c r="H12" s="24" t="inlineStr">
        <is>
          <t>НИЗКИЙ</t>
        </is>
      </c>
    </row>
    <row r="13">
      <c r="A13" t="inlineStr">
        <is>
          <t>T11</t>
        </is>
      </c>
      <c r="B13" t="inlineStr">
        <is>
          <t>Site Plan AI Q&amp;A</t>
        </is>
      </c>
      <c r="C13" s="23" t="n">
        <v>0</v>
      </c>
      <c r="D13" s="23">
        <f>Small</f>
        <v/>
      </c>
      <c r="E13" s="23">
        <f>D13+C13</f>
        <v/>
      </c>
      <c r="F13" s="23" t="inlineStr">
        <is>
          <t>—</t>
        </is>
      </c>
      <c r="G13" t="inlineStr">
        <is>
          <t>⚠️ Блок.</t>
        </is>
      </c>
      <c r="H13" t="inlineStr">
        <is>
          <t>Н/Д</t>
        </is>
      </c>
    </row>
    <row r="14">
      <c r="A14" s="25" t="inlineStr">
        <is>
          <t>ИТОГО</t>
        </is>
      </c>
      <c r="C14" s="25">
        <f>SUM(C3:C13)</f>
        <v/>
      </c>
      <c r="D14" s="25">
        <f>SUM(D3:D13)</f>
        <v/>
      </c>
      <c r="E14" s="25">
        <f>SUM(E3:E13)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</cols>
  <sheetData>
    <row r="1">
      <c r="A1" s="11" t="inlineStr">
        <is>
          <t>ДИАГРАММА ГАНТА (Критический путь)</t>
        </is>
      </c>
    </row>
    <row r="2">
      <c r="A2" s="16" t="inlineStr">
        <is>
          <t>Задача</t>
        </is>
      </c>
      <c r="B2" s="16" t="inlineStr">
        <is>
          <t>Начало (ч)</t>
        </is>
      </c>
      <c r="C2" s="16" t="inlineStr">
        <is>
          <t>Длительность (ч)</t>
        </is>
      </c>
      <c r="D2" s="16" t="inlineStr">
        <is>
          <t>Конец (ч)</t>
        </is>
      </c>
    </row>
    <row r="3">
      <c r="A3" t="inlineStr">
        <is>
          <t>T4: CAD export</t>
        </is>
      </c>
      <c r="B3" s="23" t="n">
        <v>0</v>
      </c>
      <c r="C3" s="23">
        <f>'Критический путь'!D3</f>
        <v/>
      </c>
      <c r="D3" s="23">
        <f>B3+C3</f>
        <v/>
      </c>
    </row>
    <row r="4">
      <c r="A4" t="inlineStr">
        <is>
          <t>T5: Revit DWG</t>
        </is>
      </c>
      <c r="B4" s="23">
        <f>B3+C3</f>
        <v/>
      </c>
      <c r="C4" s="23">
        <f>'Критический путь'!D4</f>
        <v/>
      </c>
      <c r="D4" s="23">
        <f>B4+C4</f>
        <v/>
      </c>
    </row>
    <row r="5">
      <c r="A5" t="inlineStr">
        <is>
          <t>T6: GIS formats</t>
        </is>
      </c>
      <c r="B5" s="23">
        <f>B4+C4</f>
        <v/>
      </c>
      <c r="C5" s="23">
        <f>'Критический путь'!D5</f>
        <v/>
      </c>
      <c r="D5" s="23">
        <f>B5+C5</f>
        <v/>
      </c>
    </row>
    <row r="6">
      <c r="A6" t="inlineStr">
        <is>
          <t>T7: ALTA/NSPS</t>
        </is>
      </c>
      <c r="B6" s="23">
        <f>B5+C5</f>
        <v/>
      </c>
      <c r="C6" s="23">
        <f>'Критический путь'!D6</f>
        <v/>
      </c>
      <c r="D6" s="23">
        <f>B6+C6</f>
        <v/>
      </c>
    </row>
    <row r="7">
      <c r="A7" t="inlineStr">
        <is>
          <t>T8: Color toggle</t>
        </is>
      </c>
      <c r="B7" s="23">
        <f>B6+C6</f>
        <v/>
      </c>
      <c r="C7" s="23">
        <f>'Критический путь'!D7</f>
        <v/>
      </c>
      <c r="D7" s="23">
        <f>B7+C7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2026-02-09T10:22:02Z</dcterms:created>
  <dcterms:modified xmlns:dcterms="http://purl.org/dc/terms/" xmlns:xsi="http://www.w3.org/2001/XMLSchema-instance" xsi:type="dcterms:W3CDTF">2026-02-09T10:22:02Z</dcterms:modified>
</cp:coreProperties>
</file>